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C:\Users\Tue\Desktop\"/>
    </mc:Choice>
  </mc:AlternateContent>
  <bookViews>
    <workbookView xWindow="0" yWindow="255" windowWidth="15480" windowHeight="9240"/>
  </bookViews>
  <sheets>
    <sheet name="Index" sheetId="1" r:id="rId1"/>
    <sheet name="Part I" sheetId="2" r:id="rId2"/>
    <sheet name="Part II" sheetId="3" r:id="rId3"/>
    <sheet name="Part III" sheetId="5" r:id="rId4"/>
    <sheet name="Part IV" sheetId="6" r:id="rId5"/>
    <sheet name="Part V" sheetId="4" r:id="rId6"/>
    <sheet name="Part VI" sheetId="7" r:id="rId7"/>
    <sheet name="Part VII" sheetId="8" r:id="rId8"/>
    <sheet name="Results" sheetId="9" r:id="rId9"/>
    <sheet name="Chart" sheetId="11" r:id="rId10"/>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I11" i="2" l="1"/>
  <c r="J13" i="2"/>
  <c r="N13" i="2"/>
  <c r="J15" i="2"/>
  <c r="N15" i="2" s="1"/>
  <c r="N17" i="2" s="1"/>
  <c r="J17" i="2" s="1"/>
  <c r="J15" i="3"/>
  <c r="N15" i="3"/>
  <c r="I11" i="3"/>
  <c r="J13" i="3" s="1"/>
  <c r="N13" i="3" s="1"/>
  <c r="J15" i="5"/>
  <c r="N15" i="5"/>
  <c r="I11" i="5"/>
  <c r="J11" i="5" s="1"/>
  <c r="N11" i="5" s="1"/>
  <c r="J13" i="5"/>
  <c r="N13" i="5" s="1"/>
  <c r="J15" i="6"/>
  <c r="N15" i="6" s="1"/>
  <c r="N17" i="6" s="1"/>
  <c r="J17" i="6" s="1"/>
  <c r="I11" i="6"/>
  <c r="J13" i="6" s="1"/>
  <c r="N13" i="6" s="1"/>
  <c r="J11" i="6"/>
  <c r="N11" i="6"/>
  <c r="J15" i="4"/>
  <c r="N15" i="4"/>
  <c r="I11" i="4"/>
  <c r="J11" i="4" s="1"/>
  <c r="N11" i="4" s="1"/>
  <c r="J13" i="4"/>
  <c r="N13" i="4" s="1"/>
  <c r="J15" i="7"/>
  <c r="N15" i="7" s="1"/>
  <c r="N17" i="7" s="1"/>
  <c r="J17" i="7" s="1"/>
  <c r="I11" i="7"/>
  <c r="J11" i="7" s="1"/>
  <c r="N11" i="7" s="1"/>
  <c r="J13" i="7"/>
  <c r="N13" i="7"/>
  <c r="J15" i="8"/>
  <c r="N15" i="8"/>
  <c r="I11" i="8"/>
  <c r="J11" i="8"/>
  <c r="N11" i="8"/>
  <c r="J13" i="8"/>
  <c r="N13" i="8" s="1"/>
  <c r="M11" i="9"/>
  <c r="M6" i="9"/>
  <c r="M13" i="9" s="1"/>
  <c r="E26" i="9" s="1"/>
  <c r="M7" i="9"/>
  <c r="M9" i="9"/>
  <c r="M10" i="9"/>
  <c r="M12" i="9"/>
  <c r="M8" i="9"/>
  <c r="E11" i="9"/>
  <c r="E6" i="9"/>
  <c r="E13" i="9" s="1"/>
  <c r="E18" i="9" s="1"/>
  <c r="E8" i="9"/>
  <c r="E10" i="9"/>
  <c r="E7" i="9"/>
  <c r="E9" i="9"/>
  <c r="E12" i="9"/>
  <c r="F11" i="9"/>
  <c r="F8" i="9"/>
  <c r="F9" i="9"/>
  <c r="F10" i="9"/>
  <c r="F12" i="9"/>
  <c r="F6" i="9"/>
  <c r="F7" i="9"/>
  <c r="F13" i="9" s="1"/>
  <c r="E19" i="9" s="1"/>
  <c r="G11" i="9"/>
  <c r="G6" i="9"/>
  <c r="G7" i="9"/>
  <c r="G8" i="9"/>
  <c r="G9" i="9"/>
  <c r="G10" i="9"/>
  <c r="G12" i="9"/>
  <c r="G13" i="9"/>
  <c r="E20" i="9" s="1"/>
  <c r="F20" i="9" s="1"/>
  <c r="B20" i="9" s="1"/>
  <c r="H11" i="9"/>
  <c r="H6" i="9"/>
  <c r="H13" i="9" s="1"/>
  <c r="E21" i="9" s="1"/>
  <c r="H7" i="9"/>
  <c r="H8" i="9"/>
  <c r="H9" i="9"/>
  <c r="H10" i="9"/>
  <c r="H12" i="9"/>
  <c r="I11" i="9"/>
  <c r="I6" i="9"/>
  <c r="I13" i="9" s="1"/>
  <c r="E22" i="9" s="1"/>
  <c r="I7" i="9"/>
  <c r="I8" i="9"/>
  <c r="I9" i="9"/>
  <c r="I10" i="9"/>
  <c r="I12" i="9"/>
  <c r="J11" i="9"/>
  <c r="J9" i="9"/>
  <c r="J10" i="9"/>
  <c r="J6" i="9"/>
  <c r="J7" i="9"/>
  <c r="J8" i="9"/>
  <c r="J12" i="9"/>
  <c r="J13" i="9" s="1"/>
  <c r="E23" i="9" s="1"/>
  <c r="F23" i="9" s="1"/>
  <c r="B23" i="9" s="1"/>
  <c r="K11" i="9"/>
  <c r="K7" i="9"/>
  <c r="K8" i="9"/>
  <c r="K9" i="9"/>
  <c r="K10" i="9"/>
  <c r="K6" i="9"/>
  <c r="K13" i="9" s="1"/>
  <c r="E24" i="9" s="1"/>
  <c r="K12" i="9"/>
  <c r="L11" i="9"/>
  <c r="L6" i="9"/>
  <c r="L13" i="9" s="1"/>
  <c r="E25" i="9" s="1"/>
  <c r="L9" i="9"/>
  <c r="L10" i="9"/>
  <c r="L7" i="9"/>
  <c r="L8" i="9"/>
  <c r="L12" i="9"/>
  <c r="J11" i="2"/>
  <c r="N11" i="2"/>
  <c r="F25" i="9" l="1"/>
  <c r="B25" i="9" s="1"/>
  <c r="F21" i="9"/>
  <c r="B21" i="9" s="1"/>
  <c r="F22" i="9"/>
  <c r="B22" i="9" s="1"/>
  <c r="F26" i="9"/>
  <c r="B26" i="9" s="1"/>
  <c r="F19" i="9"/>
  <c r="B19" i="9" s="1"/>
  <c r="F18" i="9"/>
  <c r="B18" i="9" s="1"/>
  <c r="F24" i="9"/>
  <c r="B24" i="9" s="1"/>
  <c r="N17" i="8"/>
  <c r="J17" i="8" s="1"/>
  <c r="N17" i="4"/>
  <c r="J17" i="4" s="1"/>
  <c r="N17" i="5"/>
  <c r="J17" i="5" s="1"/>
  <c r="J11" i="3"/>
  <c r="N11" i="3" s="1"/>
  <c r="N17" i="3" s="1"/>
  <c r="J17" i="3" s="1"/>
</calcChain>
</file>

<file path=xl/sharedStrings.xml><?xml version="1.0" encoding="utf-8"?>
<sst xmlns="http://schemas.openxmlformats.org/spreadsheetml/2006/main" count="114" uniqueCount="101">
  <si>
    <t>I can offer a reasoned case for alternative courses of action without introducing bias or prejudice.</t>
  </si>
  <si>
    <t>My technical knowledge and experience is usually my major asset.</t>
  </si>
  <si>
    <t>My ability rests in being able to draw people out whenever I detect they have something of value to contribute to group activities.</t>
  </si>
  <si>
    <t>My capacity to follow through has much to do with my personal effectiveness.</t>
  </si>
  <si>
    <t>I can usually sense what is realistic and likely to work.</t>
  </si>
  <si>
    <t>I can work well with a very wide range of people.</t>
  </si>
  <si>
    <t>I think I can quickly see and take advantage of opportunities.</t>
  </si>
  <si>
    <t>Producing ideas is one of my natural assets.</t>
  </si>
  <si>
    <t>I am ready to face temporary unpopularity if it leads to worthwhile results in the end.</t>
  </si>
  <si>
    <t>Points Remaining:</t>
  </si>
  <si>
    <t>You have ten (10) points to distribute amongst the statements on the left, depending on how much you agree with each of them. Statements you disagree with or are indifferent to will be awarded zero points. You may not give negative points to any statement, nor are you allowed to award fewer than ten points in total. You may distribute points as you wish.</t>
  </si>
  <si>
    <t>I am not at ease unless meetings are well structured and controlled and generally well conducted.</t>
  </si>
  <si>
    <t>My objective outlook makes it difficult for me to join in readily and enthusiastically with colleagues.</t>
  </si>
  <si>
    <t>I find it difficult to lead from the front, perhaps because I am over-responsive to group atmosphere.</t>
  </si>
  <si>
    <t>I am apt to get too caught up in ideas that occur to me and so lose track of what is happening.</t>
  </si>
  <si>
    <t>My colleagues tend to see me as worrying unnecessarily over detail and the possibility that things may go wrong.</t>
  </si>
  <si>
    <t>I am sometimes seen as forceful and authoritarian if there is a need to get something done.</t>
  </si>
  <si>
    <t>I am inclined to be generous towards others who have a valid viewpoint that has not been given a proper airing.</t>
  </si>
  <si>
    <t>I am reluctant to contribute unless the subject being discussed deals with an area I know well.</t>
  </si>
  <si>
    <t>I have a tendency to talk too much once the group gets on to new ideas.</t>
  </si>
  <si>
    <t>What I Believe I Can Contribute to a Team:</t>
  </si>
  <si>
    <t>When Involved in a Project with Other People:</t>
  </si>
  <si>
    <t>If I Have a Possible Shortcoming in Teamwork, It Could Be That:</t>
  </si>
  <si>
    <t>I can be counted on to contribute something original.</t>
  </si>
  <si>
    <t>My general vigilance prevents careless mistakes and omissions being made.</t>
  </si>
  <si>
    <t>I have an aptitude for influencing people without pressurizing them.</t>
  </si>
  <si>
    <t>I am keen to look for the latest in new ideas and developments.</t>
  </si>
  <si>
    <t>I try to maintain my sense of professionalism.</t>
  </si>
  <si>
    <t>I believe that my capacity for judgements can help to bring about the right decisions.</t>
  </si>
  <si>
    <t>I am always ready to back a good suggestion in the common interest.</t>
  </si>
  <si>
    <t>I am ready to press for action to make sure the meeting does not waste time or lose sight of the main objective.</t>
  </si>
  <si>
    <t>I can be relied upon to see that all essential work is organized.</t>
  </si>
  <si>
    <t>My Characteristic Approach to Group Work is That:</t>
  </si>
  <si>
    <t>I have a quiet interest in getting to know colleagues better.</t>
  </si>
  <si>
    <t>While I am interested in all views, I have no hesitation in making up my mind once a decision has to be made.</t>
  </si>
  <si>
    <t>I am not reluctant to challenge the views of others or to hold a minority view myself.</t>
  </si>
  <si>
    <t>I think I have a talent for making things work once a plan has to be put into operation.</t>
  </si>
  <si>
    <t>I contribute when I know what I'm talking about.</t>
  </si>
  <si>
    <t>I can usually find a line of argument to refute unsound propositions.</t>
  </si>
  <si>
    <t>I bring a touch of perfectionism to any job I undertake.</t>
  </si>
  <si>
    <t>I am ready to make use of contacts outside of the group itself.</t>
  </si>
  <si>
    <t>I have a tendency to avoid the obvious and come out with the unexpected.</t>
  </si>
  <si>
    <t>I Gain Satisfaction In a Job Because:</t>
  </si>
  <si>
    <t>I enjoy analyzing situations and weighing up all the possible choices.</t>
  </si>
  <si>
    <t>I feel that I am using my special qualifications and training to advantage.</t>
  </si>
  <si>
    <t>I feel in my element when I can give a task my full attention.</t>
  </si>
  <si>
    <t>I am interested in finding practical solutions to problems.</t>
  </si>
  <si>
    <t>I like to feel I am fostering good working relationships.</t>
  </si>
  <si>
    <t>I can meet people who may have something new to offer.</t>
  </si>
  <si>
    <t>I can get people to agree on a necessary course of action.</t>
  </si>
  <si>
    <t>I can have a strong influence on decisions.</t>
  </si>
  <si>
    <t>I like to find a field that stretches my imagination.</t>
  </si>
  <si>
    <t>If I Am Suddenly Given a Difficult Task with Limited Time and Unfamiliar People:</t>
  </si>
  <si>
    <t>I tend to read up as much as I conveniently can on the subject.</t>
  </si>
  <si>
    <t>I would retain a steadiness of purpose in spite of the pressures.</t>
  </si>
  <si>
    <t>I would open up discussions with a view to stimulating new thoughts and getting something moving.</t>
  </si>
  <si>
    <t>I believe that I would keep cool and maintain my capacity to think straight.</t>
  </si>
  <si>
    <t>I would find some way of reducing the size of the task by establishing what different individuals might best contribute.</t>
  </si>
  <si>
    <t>I would feel like retiring to a corner to devise a way out of the impasse before developing a line.</t>
  </si>
  <si>
    <t>I would be prepared to take a positive lead if I felt the group was making no progress.</t>
  </si>
  <si>
    <t>My natural sense of urgency would help ensure that we did not fall behind schedule.</t>
  </si>
  <si>
    <t>I would be ready to work with the person who showed the most positive approach.</t>
  </si>
  <si>
    <t>With Reference to the Problems to Which I Am Subject in Working in Groups:</t>
  </si>
  <si>
    <t>I am apt to show my impatience with those who are obstructing progress.</t>
  </si>
  <si>
    <t>I hesitate to get my points across when I run up against real opposition.</t>
  </si>
  <si>
    <t>I am inclined to feel I am wasting my time and would do better on my own.</t>
  </si>
  <si>
    <t>I am conscious of demanding from others the things I cannot do myself.</t>
  </si>
  <si>
    <t>I am tend to get bored rather easily and rely on one or two stimulating members to spark me off.</t>
  </si>
  <si>
    <t>My desire to ensure that work is properly done can hold up proceedings.</t>
  </si>
  <si>
    <t>Others may criticise me for being too analytical and insufficiently intuitive.</t>
  </si>
  <si>
    <t>I find it difficult to get started unless the goals are clear.</t>
  </si>
  <si>
    <t>I am sometimes poor at explaining and clarifying complex points that occur to me.</t>
  </si>
  <si>
    <t>Section</t>
  </si>
  <si>
    <t>I</t>
  </si>
  <si>
    <t>II</t>
  </si>
  <si>
    <t>III</t>
  </si>
  <si>
    <t>IV</t>
  </si>
  <si>
    <t>V</t>
  </si>
  <si>
    <t>VI</t>
  </si>
  <si>
    <t>VII</t>
  </si>
  <si>
    <t>Total</t>
  </si>
  <si>
    <t>Roles</t>
  </si>
  <si>
    <t>Implementor</t>
  </si>
  <si>
    <t>Coordinator</t>
  </si>
  <si>
    <t>Shaper</t>
  </si>
  <si>
    <t>Plant</t>
  </si>
  <si>
    <t>Resource Investigator</t>
  </si>
  <si>
    <t>Monitor Evaluator</t>
  </si>
  <si>
    <t>Team Worker</t>
  </si>
  <si>
    <t>Complete Finisher</t>
  </si>
  <si>
    <t>Specialist</t>
  </si>
  <si>
    <t>Click Here To Proceed To Part II</t>
  </si>
  <si>
    <t>Click Here To Proceed To Part III</t>
  </si>
  <si>
    <t>Click Here To Proceed To Part IV</t>
  </si>
  <si>
    <t>Click Here To Proceed To Part V</t>
  </si>
  <si>
    <t>Click Here To Proceed To Part VI</t>
  </si>
  <si>
    <t>Click Here To Proceed To Part VII</t>
  </si>
  <si>
    <t>Click Here To Proceed To the Results Page</t>
  </si>
  <si>
    <t>The Team Role Inventory Test</t>
  </si>
  <si>
    <t>Based on the work of Dr. Meredith Belbin</t>
  </si>
  <si>
    <t>Click Here To Proceed To Part I</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</si>
</sst>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0"/>
      <name val="Arial"/>
      <charset val="161"/>
    </font>
    <font>
      <b/>
      <sz val="10"/>
      <name val="Arial"/>
      <family val="2"/>
    </font>
    <font>
      <b/>
      <sz val="10"/>
      <color indexed="10"/>
      <name val="Arial"/>
      <family val="2"/>
    </font>
    <font>
      <b/>
      <sz val="10"/>
      <color indexed="57"/>
      <name val="Arial"/>
      <family val="2"/>
    </font>
    <font>
      <b/>
      <sz val="10"/>
      <color indexed="22"/>
      <name val="Arial"/>
      <family val="2"/>
    </font>
    <font>
      <sz val="10"/>
      <color indexed="22"/>
      <name val="Arial"/>
      <family val="2"/>
    </font>
    <font>
      <sz val="10"/>
      <color indexed="63"/>
      <name val="Arial"/>
      <family val="2"/>
    </font>
    <font>
      <b/>
      <sz val="14"/>
      <color indexed="22"/>
      <name val="Arial"/>
      <family val="2"/>
    </font>
    <font>
      <u/>
      <sz val="10"/>
      <color indexed="12"/>
      <name val="Arial"/>
      <family val="2"/>
    </font>
    <font>
      <b/>
      <sz val="14"/>
      <name val="Arial"/>
      <family val="2"/>
    </font>
    <font>
      <b/>
      <sz val="48"/>
      <name val="Arial"/>
      <family val="2"/>
    </font>
    <font>
      <sz val="14"/>
      <name val="Arial"/>
      <family val="2"/>
    </font>
  </fonts>
  <fills count="5">
    <fill>
      <patternFill patternType="none"/>
    </fill>
    <fill>
      <patternFill patternType="gray125"/>
    </fill>
    <fill>
      <patternFill patternType="solid">
        <fgColor indexed="63"/>
        <bgColor indexed="63"/>
      </patternFill>
    </fill>
    <fill>
      <patternFill patternType="solid">
        <fgColor indexed="63"/>
        <bgColor indexed="64"/>
      </patternFill>
    </fill>
    <fill>
      <patternFill patternType="solid">
        <fgColor indexed="22"/>
        <bgColor indexed="64"/>
      </patternFill>
    </fill>
  </fills>
  <borders count="4">
    <border>
      <left/>
      <right/>
      <top/>
      <bottom/>
      <diagonal/>
    </border>
    <border>
      <left style="thick">
        <color indexed="22"/>
      </left>
      <right style="thick">
        <color indexed="22"/>
      </right>
      <top style="thick">
        <color indexed="22"/>
      </top>
      <bottom style="thick">
        <color indexed="22"/>
      </bottom>
      <diagonal/>
    </border>
    <border>
      <left style="thick">
        <color indexed="22"/>
      </left>
      <right style="thick">
        <color indexed="22"/>
      </right>
      <top style="thick">
        <color indexed="22"/>
      </top>
      <bottom/>
      <diagonal/>
    </border>
    <border>
      <left style="thick">
        <color indexed="22"/>
      </left>
      <right style="thick">
        <color indexed="22"/>
      </right>
      <top/>
      <bottom/>
      <diagonal/>
    </border>
  </borders>
  <cellStyleXfs count="2">
    <xf numFmtId="0" fontId="0" fillId="0" borderId="0"/>
    <xf numFmtId="0" fontId="8" fillId="0" borderId="0" applyNumberFormat="0" applyFill="0" applyBorder="0" applyAlignment="0" applyProtection="0">
      <alignment vertical="top"/>
      <protection locked="0"/>
    </xf>
  </cellStyleXfs>
  <cellXfs count="36">
    <xf numFmtId="0" fontId="0" fillId="0" borderId="0" xfId="0"/>
    <xf numFmtId="0" fontId="1" fillId="2" borderId="0" xfId="0" applyFont="1" applyFill="1"/>
    <xf numFmtId="0" fontId="0" fillId="2" borderId="0" xfId="0" applyFill="1" applyAlignment="1">
      <alignment wrapText="1"/>
    </xf>
    <xf numFmtId="0" fontId="0" fillId="2" borderId="0" xfId="0" applyFill="1"/>
    <xf numFmtId="0" fontId="4" fillId="2" borderId="0" xfId="0" applyFont="1" applyFill="1" applyAlignment="1">
      <alignment wrapText="1"/>
    </xf>
    <xf numFmtId="0" fontId="5" fillId="2" borderId="0" xfId="0" applyFont="1" applyFill="1" applyAlignment="1">
      <alignment wrapText="1"/>
    </xf>
    <xf numFmtId="0" fontId="6" fillId="2" borderId="0" xfId="0" applyFont="1" applyFill="1"/>
    <xf numFmtId="0" fontId="7" fillId="2" borderId="0" xfId="0" applyFont="1" applyFill="1" applyAlignment="1">
      <alignment wrapText="1"/>
    </xf>
    <xf numFmtId="0" fontId="7" fillId="2" borderId="1" xfId="0" applyFont="1" applyFill="1" applyBorder="1" applyAlignment="1">
      <alignment horizontal="center" vertical="center"/>
    </xf>
    <xf numFmtId="0" fontId="9" fillId="2" borderId="0" xfId="0" applyFont="1" applyFill="1" applyAlignment="1">
      <alignment horizontal="center" vertical="center"/>
    </xf>
    <xf numFmtId="0" fontId="4" fillId="3" borderId="0" xfId="0" applyFont="1" applyFill="1" applyAlignment="1">
      <alignment horizontal="right" vertical="center"/>
    </xf>
    <xf numFmtId="0" fontId="0" fillId="3" borderId="0" xfId="0" applyFill="1"/>
    <xf numFmtId="0" fontId="5" fillId="3" borderId="0" xfId="0" applyFont="1" applyFill="1"/>
    <xf numFmtId="0" fontId="4" fillId="3" borderId="0" xfId="0" applyFont="1" applyFill="1" applyAlignment="1">
      <alignment horizontal="right"/>
    </xf>
    <xf numFmtId="0" fontId="4" fillId="3" borderId="0" xfId="0" applyFont="1" applyFill="1" applyBorder="1"/>
    <xf numFmtId="0" fontId="4" fillId="3" borderId="0" xfId="0" applyFont="1" applyFill="1"/>
    <xf numFmtId="0" fontId="2" fillId="3" borderId="0" xfId="0" quotePrefix="1" applyFont="1" applyFill="1" applyAlignment="1">
      <alignment horizontal="right"/>
    </xf>
    <xf numFmtId="0" fontId="6" fillId="3" borderId="0" xfId="0" applyFont="1" applyFill="1"/>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7" fillId="2" borderId="0" xfId="0" applyFont="1" applyFill="1" applyBorder="1" applyAlignment="1">
      <alignment horizontal="center" vertical="center"/>
    </xf>
    <xf numFmtId="0" fontId="0" fillId="4" borderId="0" xfId="0" applyFill="1"/>
    <xf numFmtId="0" fontId="10" fillId="4" borderId="0" xfId="0" applyFont="1" applyFill="1" applyAlignment="1">
      <alignment wrapText="1"/>
    </xf>
    <xf numFmtId="0" fontId="1" fillId="0" borderId="0" xfId="0" applyFont="1" applyAlignment="1">
      <alignment wrapText="1"/>
    </xf>
    <xf numFmtId="0" fontId="11" fillId="4" borderId="0" xfId="0" applyFont="1" applyFill="1" applyAlignment="1"/>
    <xf numFmtId="0" fontId="0" fillId="0" borderId="0" xfId="0" applyAlignment="1"/>
    <xf numFmtId="0" fontId="7" fillId="2" borderId="0" xfId="1" applyFont="1" applyFill="1" applyAlignment="1" applyProtection="1">
      <alignment horizontal="center" vertical="center" wrapText="1"/>
    </xf>
    <xf numFmtId="0" fontId="2" fillId="2" borderId="0" xfId="0" applyFont="1" applyFill="1" applyAlignment="1">
      <alignment horizontal="center" vertical="center" shrinkToFit="1"/>
    </xf>
    <xf numFmtId="0" fontId="3" fillId="2" borderId="0" xfId="0" applyFont="1" applyFill="1" applyAlignment="1">
      <alignment horizontal="center" vertical="center" shrinkToFit="1"/>
    </xf>
    <xf numFmtId="0" fontId="4" fillId="2" borderId="0" xfId="0" applyFont="1" applyFill="1" applyAlignment="1">
      <alignment horizontal="justify" vertical="center" wrapText="1"/>
    </xf>
    <xf numFmtId="0" fontId="5" fillId="2" borderId="0" xfId="0" applyFont="1" applyFill="1" applyAlignment="1">
      <alignment horizontal="justify" vertical="center" wrapText="1"/>
    </xf>
    <xf numFmtId="0" fontId="4" fillId="2" borderId="0" xfId="0" applyFont="1" applyFill="1" applyAlignment="1">
      <alignment horizontal="center" vertical="center"/>
    </xf>
    <xf numFmtId="0" fontId="4" fillId="2" borderId="0" xfId="0" applyFont="1" applyFill="1" applyBorder="1" applyAlignment="1">
      <alignment horizontal="center" vertical="center"/>
    </xf>
    <xf numFmtId="0" fontId="2" fillId="2" borderId="0" xfId="0" applyFont="1" applyFill="1" applyAlignment="1">
      <alignment horizontal="center" vertical="center"/>
    </xf>
    <xf numFmtId="0" fontId="4" fillId="3" borderId="0" xfId="0" applyFont="1" applyFill="1" applyAlignment="1">
      <alignment horizontal="center" vertical="center"/>
    </xf>
  </cellXfs>
  <cellStyles count="2">
    <cellStyle name="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hartsheet" Target="chartsheets/sheet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C0C0C0"/>
                </a:solidFill>
                <a:latin typeface="Arial"/>
                <a:ea typeface="Arial"/>
                <a:cs typeface="Arial"/>
              </a:defRPr>
            </a:pPr>
            <a:r>
              <a:rPr lang="da-DK"/>
              <a:t>Your Personal Role Inventory</a:t>
            </a:r>
          </a:p>
        </c:rich>
      </c:tx>
      <c:layout>
        <c:manualLayout>
          <c:xMode val="edge"/>
          <c:yMode val="edge"/>
          <c:x val="0.38159259108155519"/>
          <c:y val="2.0339064759762174E-2"/>
        </c:manualLayout>
      </c:layout>
      <c:overlay val="0"/>
      <c:spPr>
        <a:noFill/>
        <a:ln w="25400">
          <a:noFill/>
        </a:ln>
      </c:spPr>
    </c:title>
    <c:autoTitleDeleted val="0"/>
    <c:plotArea>
      <c:layout>
        <c:manualLayout>
          <c:layoutTarget val="inner"/>
          <c:xMode val="edge"/>
          <c:yMode val="edge"/>
          <c:x val="0.27921406411582211"/>
          <c:y val="0.18305084745762712"/>
          <c:w val="0.44157187176835572"/>
          <c:h val="0.72372881355932206"/>
        </c:manualLayout>
      </c:layout>
      <c:radarChart>
        <c:radarStyle val="filled"/>
        <c:varyColors val="0"/>
        <c:ser>
          <c:idx val="0"/>
          <c:order val="0"/>
          <c:spPr>
            <a:solidFill>
              <a:srgbClr val="9999FF"/>
            </a:solidFill>
            <a:ln w="12700">
              <a:solidFill>
                <a:srgbClr val="000000"/>
              </a:solidFill>
              <a:prstDash val="solid"/>
            </a:ln>
          </c:spPr>
          <c:cat>
            <c:strRef>
              <c:f>Results!$C$18:$C$26</c:f>
              <c:strCache>
                <c:ptCount val="9"/>
                <c:pt idx="0">
                  <c:v>Implementor</c:v>
                </c:pt>
                <c:pt idx="1">
                  <c:v>Coordinator</c:v>
                </c:pt>
                <c:pt idx="2">
                  <c:v>Shaper</c:v>
                </c:pt>
                <c:pt idx="3">
                  <c:v>Plant</c:v>
                </c:pt>
                <c:pt idx="4">
                  <c:v>Resource Investigator</c:v>
                </c:pt>
                <c:pt idx="5">
                  <c:v>Monitor Evaluator</c:v>
                </c:pt>
                <c:pt idx="6">
                  <c:v>Team Worker</c:v>
                </c:pt>
                <c:pt idx="7">
                  <c:v>Complete Finisher</c:v>
                </c:pt>
                <c:pt idx="8">
                  <c:v>Specialist</c:v>
                </c:pt>
              </c:strCache>
            </c:strRef>
          </c:cat>
          <c:val>
            <c:numRef>
              <c:f>Results!$E$18:$E$26</c:f>
              <c:numCache>
                <c:formatCode>General</c:formatCode>
                <c:ptCount val="9"/>
                <c:pt idx="0">
                  <c:v>0</c:v>
                </c:pt>
                <c:pt idx="1">
                  <c:v>0</c:v>
                </c:pt>
                <c:pt idx="2">
                  <c:v>0</c:v>
                </c:pt>
                <c:pt idx="3">
                  <c:v>0</c:v>
                </c:pt>
                <c:pt idx="4">
                  <c:v>0</c:v>
                </c:pt>
                <c:pt idx="5">
                  <c:v>0</c:v>
                </c:pt>
                <c:pt idx="6">
                  <c:v>0</c:v>
                </c:pt>
                <c:pt idx="7">
                  <c:v>0</c:v>
                </c:pt>
                <c:pt idx="8">
                  <c:v>0</c:v>
                </c:pt>
              </c:numCache>
            </c:numRef>
          </c:val>
        </c:ser>
        <c:dLbls>
          <c:showLegendKey val="0"/>
          <c:showVal val="0"/>
          <c:showCatName val="0"/>
          <c:showSerName val="0"/>
          <c:showPercent val="0"/>
          <c:showBubbleSize val="0"/>
        </c:dLbls>
        <c:axId val="947298976"/>
        <c:axId val="947286464"/>
      </c:radarChart>
      <c:catAx>
        <c:axId val="947298976"/>
        <c:scaling>
          <c:orientation val="minMax"/>
        </c:scaling>
        <c:delete val="0"/>
        <c:axPos val="b"/>
        <c:majorGridlines>
          <c:spPr>
            <a:ln w="3175">
              <a:solidFill>
                <a:srgbClr val="C0C0C0"/>
              </a:solidFill>
              <a:prstDash val="solid"/>
            </a:ln>
          </c:spPr>
        </c:majorGridlines>
        <c:numFmt formatCode="General" sourceLinked="1"/>
        <c:majorTickMark val="out"/>
        <c:minorTickMark val="none"/>
        <c:tickLblPos val="nextTo"/>
        <c:txPr>
          <a:bodyPr rot="0" vert="horz"/>
          <a:lstStyle/>
          <a:p>
            <a:pPr>
              <a:defRPr sz="1000" b="1" i="0" u="none" strike="noStrike" baseline="0">
                <a:solidFill>
                  <a:srgbClr val="C0C0C0"/>
                </a:solidFill>
                <a:latin typeface="Arial Narrow"/>
                <a:ea typeface="Arial Narrow"/>
                <a:cs typeface="Arial Narrow"/>
              </a:defRPr>
            </a:pPr>
            <a:endParaRPr lang="da-DK"/>
          </a:p>
        </c:txPr>
        <c:crossAx val="947286464"/>
        <c:crosses val="autoZero"/>
        <c:auto val="0"/>
        <c:lblAlgn val="ctr"/>
        <c:lblOffset val="100"/>
        <c:noMultiLvlLbl val="0"/>
      </c:catAx>
      <c:valAx>
        <c:axId val="947286464"/>
        <c:scaling>
          <c:orientation val="minMax"/>
          <c:max val="15"/>
        </c:scaling>
        <c:delete val="0"/>
        <c:axPos val="l"/>
        <c:majorGridlines>
          <c:spPr>
            <a:ln w="3175">
              <a:solidFill>
                <a:srgbClr val="C0C0C0"/>
              </a:solidFill>
              <a:prstDash val="sysDash"/>
            </a:ln>
          </c:spPr>
        </c:majorGridlines>
        <c:minorGridlines>
          <c:spPr>
            <a:ln w="3175">
              <a:solidFill>
                <a:srgbClr val="808080"/>
              </a:solidFill>
              <a:prstDash val="sysDash"/>
            </a:ln>
          </c:spPr>
        </c:minorGridlines>
        <c:numFmt formatCode="General" sourceLinked="1"/>
        <c:majorTickMark val="cross"/>
        <c:minorTickMark val="cross"/>
        <c:tickLblPos val="nextTo"/>
        <c:spPr>
          <a:ln w="3175">
            <a:solidFill>
              <a:srgbClr val="C0C0C0"/>
            </a:solidFill>
            <a:prstDash val="solid"/>
          </a:ln>
        </c:spPr>
        <c:txPr>
          <a:bodyPr rot="0" vert="horz"/>
          <a:lstStyle/>
          <a:p>
            <a:pPr>
              <a:defRPr sz="1000" b="0" i="0" u="none" strike="noStrike" baseline="0">
                <a:solidFill>
                  <a:srgbClr val="C0C0C0"/>
                </a:solidFill>
                <a:latin typeface="Arial"/>
                <a:ea typeface="Arial"/>
                <a:cs typeface="Arial"/>
              </a:defRPr>
            </a:pPr>
            <a:endParaRPr lang="da-DK"/>
          </a:p>
        </c:txPr>
        <c:crossAx val="947298976"/>
        <c:crosses val="autoZero"/>
        <c:crossBetween val="between"/>
        <c:majorUnit val="5"/>
        <c:minorUnit val="1"/>
      </c:valAx>
      <c:spPr>
        <a:noFill/>
        <a:ln w="25400">
          <a:noFill/>
        </a:ln>
      </c:spPr>
    </c:plotArea>
    <c:plotVisOnly val="1"/>
    <c:dispBlanksAs val="gap"/>
    <c:showDLblsOverMax val="0"/>
  </c:chart>
  <c:spPr>
    <a:solidFill>
      <a:srgbClr val="333333"/>
    </a:solidFill>
    <a:ln w="9525">
      <a:noFill/>
    </a:ln>
  </c:spPr>
  <c:txPr>
    <a:bodyPr/>
    <a:lstStyle/>
    <a:p>
      <a:pPr>
        <a:defRPr sz="1000" b="0" i="0" u="none" strike="noStrike" baseline="0">
          <a:solidFill>
            <a:srgbClr val="000000"/>
          </a:solidFill>
          <a:latin typeface="Arial"/>
          <a:ea typeface="Arial"/>
          <a:cs typeface="Arial"/>
        </a:defRPr>
      </a:pPr>
      <a:endParaRPr lang="da-DK"/>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sheetViews>
    <sheetView workbookViewId="0"/>
  </sheetViews>
  <pageMargins left="0.75" right="0.75" top="1" bottom="1" header="0.5" footer="0.5"/>
  <headerFooter alignWithMargins="0"/>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191625" cy="5600700"/>
    <xdr:graphicFrame macro="">
      <xdr:nvGraphicFramePr>
        <xdr:cNvPr id="2" name="Diagram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R32"/>
  <sheetViews>
    <sheetView tabSelected="1" zoomScale="50" zoomScaleNormal="50" workbookViewId="0">
      <selection activeCell="J30" sqref="J30:R32"/>
    </sheetView>
  </sheetViews>
  <sheetFormatPr defaultRowHeight="12.75" x14ac:dyDescent="0.2"/>
  <cols>
    <col min="1" max="16384" width="9.140625" style="11"/>
  </cols>
  <sheetData>
    <row r="3" spans="2:12" x14ac:dyDescent="0.2">
      <c r="B3" s="23" t="s">
        <v>98</v>
      </c>
      <c r="C3" s="24"/>
      <c r="D3" s="24"/>
      <c r="E3" s="24"/>
      <c r="F3" s="24"/>
      <c r="G3" s="24"/>
      <c r="H3" s="24"/>
      <c r="I3" s="24"/>
      <c r="J3" s="24"/>
      <c r="K3" s="24"/>
      <c r="L3" s="24"/>
    </row>
    <row r="4" spans="2:12" x14ac:dyDescent="0.2">
      <c r="B4" s="24"/>
      <c r="C4" s="24"/>
      <c r="D4" s="24"/>
      <c r="E4" s="24"/>
      <c r="F4" s="24"/>
      <c r="G4" s="24"/>
      <c r="H4" s="24"/>
      <c r="I4" s="24"/>
      <c r="J4" s="24"/>
      <c r="K4" s="24"/>
      <c r="L4" s="24"/>
    </row>
    <row r="5" spans="2:12" x14ac:dyDescent="0.2">
      <c r="B5" s="24"/>
      <c r="C5" s="24"/>
      <c r="D5" s="24"/>
      <c r="E5" s="24"/>
      <c r="F5" s="24"/>
      <c r="G5" s="24"/>
      <c r="H5" s="24"/>
      <c r="I5" s="24"/>
      <c r="J5" s="24"/>
      <c r="K5" s="24"/>
      <c r="L5" s="24"/>
    </row>
    <row r="6" spans="2:12" x14ac:dyDescent="0.2">
      <c r="B6" s="24"/>
      <c r="C6" s="24"/>
      <c r="D6" s="24"/>
      <c r="E6" s="24"/>
      <c r="F6" s="24"/>
      <c r="G6" s="24"/>
      <c r="H6" s="24"/>
      <c r="I6" s="24"/>
      <c r="J6" s="24"/>
      <c r="K6" s="24"/>
      <c r="L6" s="24"/>
    </row>
    <row r="7" spans="2:12" x14ac:dyDescent="0.2">
      <c r="B7" s="24"/>
      <c r="C7" s="24"/>
      <c r="D7" s="24"/>
      <c r="E7" s="24"/>
      <c r="F7" s="24"/>
      <c r="G7" s="24"/>
      <c r="H7" s="24"/>
      <c r="I7" s="24"/>
      <c r="J7" s="24"/>
      <c r="K7" s="24"/>
      <c r="L7" s="24"/>
    </row>
    <row r="8" spans="2:12" x14ac:dyDescent="0.2">
      <c r="B8" s="24"/>
      <c r="C8" s="24"/>
      <c r="D8" s="24"/>
      <c r="E8" s="24"/>
      <c r="F8" s="24"/>
      <c r="G8" s="24"/>
      <c r="H8" s="24"/>
      <c r="I8" s="24"/>
      <c r="J8" s="24"/>
      <c r="K8" s="24"/>
      <c r="L8" s="24"/>
    </row>
    <row r="9" spans="2:12" x14ac:dyDescent="0.2">
      <c r="B9" s="24"/>
      <c r="C9" s="24"/>
      <c r="D9" s="24"/>
      <c r="E9" s="24"/>
      <c r="F9" s="24"/>
      <c r="G9" s="24"/>
      <c r="H9" s="24"/>
      <c r="I9" s="24"/>
      <c r="J9" s="24"/>
      <c r="K9" s="24"/>
      <c r="L9" s="24"/>
    </row>
    <row r="10" spans="2:12" x14ac:dyDescent="0.2">
      <c r="B10" s="24"/>
      <c r="C10" s="24"/>
      <c r="D10" s="24"/>
      <c r="E10" s="24"/>
      <c r="F10" s="24"/>
      <c r="G10" s="24"/>
      <c r="H10" s="24"/>
      <c r="I10" s="24"/>
      <c r="J10" s="24"/>
      <c r="K10" s="24"/>
      <c r="L10" s="24"/>
    </row>
    <row r="11" spans="2:12" x14ac:dyDescent="0.2">
      <c r="B11" s="24"/>
      <c r="C11" s="24"/>
      <c r="D11" s="24"/>
      <c r="E11" s="24"/>
      <c r="F11" s="24"/>
      <c r="G11" s="24"/>
      <c r="H11" s="24"/>
      <c r="I11" s="24"/>
      <c r="J11" s="24"/>
      <c r="K11" s="24"/>
      <c r="L11" s="24"/>
    </row>
    <row r="12" spans="2:12" x14ac:dyDescent="0.2">
      <c r="B12" s="24"/>
      <c r="C12" s="24"/>
      <c r="D12" s="24"/>
      <c r="E12" s="24"/>
      <c r="F12" s="24"/>
      <c r="G12" s="24"/>
      <c r="H12" s="24"/>
      <c r="I12" s="24"/>
      <c r="J12" s="24"/>
      <c r="K12" s="24"/>
      <c r="L12" s="24"/>
    </row>
    <row r="13" spans="2:12" x14ac:dyDescent="0.2">
      <c r="B13" s="22"/>
      <c r="C13" s="22"/>
      <c r="D13" s="22"/>
      <c r="E13" s="22"/>
      <c r="F13" s="22"/>
      <c r="G13" s="22"/>
      <c r="H13" s="22"/>
      <c r="I13" s="22"/>
      <c r="J13" s="22"/>
      <c r="K13" s="22"/>
      <c r="L13" s="22"/>
    </row>
    <row r="14" spans="2:12" ht="18" x14ac:dyDescent="0.25">
      <c r="B14" s="22"/>
      <c r="C14" s="22"/>
      <c r="D14" s="22"/>
      <c r="E14" s="22"/>
      <c r="F14" s="25" t="s">
        <v>99</v>
      </c>
      <c r="G14" s="26"/>
      <c r="H14" s="26"/>
      <c r="I14" s="26"/>
      <c r="J14" s="26"/>
      <c r="K14" s="26"/>
      <c r="L14" s="22"/>
    </row>
    <row r="15" spans="2:12" x14ac:dyDescent="0.2">
      <c r="B15" s="22"/>
      <c r="C15" s="22"/>
      <c r="D15" s="22"/>
      <c r="E15" s="22"/>
      <c r="F15" s="22"/>
      <c r="G15" s="22"/>
      <c r="H15" s="22"/>
      <c r="I15" s="22"/>
      <c r="J15" s="22"/>
      <c r="K15" s="22"/>
      <c r="L15" s="22"/>
    </row>
    <row r="16" spans="2:12" x14ac:dyDescent="0.2">
      <c r="B16" s="22"/>
      <c r="C16" s="22"/>
      <c r="D16" s="22"/>
      <c r="E16" s="22"/>
      <c r="F16" s="22"/>
      <c r="G16" s="22"/>
      <c r="H16" s="22"/>
      <c r="I16" s="22"/>
      <c r="J16" s="22"/>
      <c r="K16" s="22"/>
      <c r="L16" s="22"/>
    </row>
    <row r="30" spans="10:18" ht="12.75" customHeight="1" x14ac:dyDescent="0.2">
      <c r="J30" s="27" t="s">
        <v>100</v>
      </c>
      <c r="K30" s="27"/>
      <c r="L30" s="27"/>
      <c r="M30" s="27"/>
      <c r="N30" s="27"/>
      <c r="O30" s="27"/>
      <c r="P30" s="27"/>
      <c r="Q30" s="27"/>
      <c r="R30" s="27"/>
    </row>
    <row r="31" spans="10:18" x14ac:dyDescent="0.2">
      <c r="J31" s="27"/>
      <c r="K31" s="27"/>
      <c r="L31" s="27"/>
      <c r="M31" s="27"/>
      <c r="N31" s="27"/>
      <c r="O31" s="27"/>
      <c r="P31" s="27"/>
      <c r="Q31" s="27"/>
      <c r="R31" s="27"/>
    </row>
    <row r="32" spans="10:18" x14ac:dyDescent="0.2">
      <c r="J32" s="27"/>
      <c r="K32" s="27"/>
      <c r="L32" s="27"/>
      <c r="M32" s="27"/>
      <c r="N32" s="27"/>
      <c r="O32" s="27"/>
      <c r="P32" s="27"/>
      <c r="Q32" s="27"/>
      <c r="R32" s="27"/>
    </row>
  </sheetData>
  <mergeCells count="3">
    <mergeCell ref="B3:L12"/>
    <mergeCell ref="F14:K14"/>
    <mergeCell ref="J30:R32"/>
  </mergeCells>
  <phoneticPr fontId="0" type="noConversion"/>
  <hyperlinks>
    <hyperlink ref="J30:R32" location="'Part I'!A1" display="Click Here To Proceed To Part I"/>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x14ac:dyDescent="0.25">
      <c r="B3" s="7" t="s">
        <v>20</v>
      </c>
      <c r="C3" s="4"/>
      <c r="D3" s="9"/>
    </row>
    <row r="4" spans="2:14" ht="18.75" thickBot="1" x14ac:dyDescent="0.25">
      <c r="B4" s="5"/>
      <c r="C4" s="5"/>
    </row>
    <row r="5" spans="2:14" ht="25.5" customHeight="1" thickTop="1" thickBot="1" x14ac:dyDescent="0.25">
      <c r="B5" s="5" t="s">
        <v>6</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5</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4</v>
      </c>
      <c r="C9" s="5"/>
      <c r="D9" s="8"/>
    </row>
    <row r="10" spans="2:14" ht="19.5" thickTop="1" thickBot="1" x14ac:dyDescent="0.25">
      <c r="B10" s="5"/>
      <c r="C10" s="5"/>
    </row>
    <row r="11" spans="2:14" ht="25.5" customHeight="1" thickTop="1" thickBot="1" x14ac:dyDescent="0.25">
      <c r="B11" s="5" t="s">
        <v>3</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2</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1</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0</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7</v>
      </c>
      <c r="C19" s="5"/>
      <c r="D19" s="8"/>
    </row>
    <row r="20" spans="2:14" ht="19.5" thickTop="1" thickBot="1" x14ac:dyDescent="0.25">
      <c r="B20" s="5"/>
      <c r="C20" s="5"/>
    </row>
    <row r="21" spans="2:14" ht="25.5" customHeight="1" thickTop="1" thickBot="1" x14ac:dyDescent="0.25">
      <c r="B21" s="5" t="s">
        <v>8</v>
      </c>
      <c r="C21" s="5"/>
      <c r="D21" s="8"/>
    </row>
    <row r="22" spans="2:14" ht="18.75" thickTop="1" x14ac:dyDescent="0.2"/>
    <row r="23" spans="2:14" ht="12.75" customHeight="1" x14ac:dyDescent="0.2">
      <c r="F23" s="27" t="s">
        <v>91</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I'!A1" display="Click Here To Proceed To Part II"/>
  </hyperlinks>
  <pageMargins left="0.75" right="0.75" top="1" bottom="1" header="0.5" footer="0.5"/>
  <pageSetup paperSize="9" orientation="portrait" horizontalDpi="4294967294" verticalDpi="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election activeCell="B5" sqref="B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22</v>
      </c>
      <c r="C3" s="4"/>
      <c r="D3" s="9"/>
    </row>
    <row r="4" spans="2:14" ht="18.75" thickBot="1" x14ac:dyDescent="0.25">
      <c r="B4" s="5"/>
      <c r="C4" s="5"/>
    </row>
    <row r="5" spans="2:14" ht="25.5" customHeight="1" thickTop="1" thickBot="1" x14ac:dyDescent="0.25">
      <c r="B5" s="5" t="s">
        <v>11</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12</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13</v>
      </c>
      <c r="C9" s="5"/>
      <c r="D9" s="8"/>
    </row>
    <row r="10" spans="2:14" ht="19.5" thickTop="1" thickBot="1" x14ac:dyDescent="0.25">
      <c r="B10" s="5"/>
      <c r="C10" s="5"/>
    </row>
    <row r="11" spans="2:14" ht="25.5" customHeight="1" thickTop="1" thickBot="1" x14ac:dyDescent="0.25">
      <c r="B11" s="5" t="s">
        <v>14</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15</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16</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17</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18</v>
      </c>
      <c r="C19" s="5"/>
      <c r="D19" s="8"/>
    </row>
    <row r="20" spans="2:14" ht="19.5" thickTop="1" thickBot="1" x14ac:dyDescent="0.25">
      <c r="B20" s="5"/>
      <c r="C20" s="5"/>
    </row>
    <row r="21" spans="2:14" ht="25.5" customHeight="1" thickTop="1" thickBot="1" x14ac:dyDescent="0.25">
      <c r="B21" s="5" t="s">
        <v>19</v>
      </c>
      <c r="C21" s="5"/>
      <c r="D21" s="8"/>
    </row>
    <row r="22" spans="2:14" ht="18.75" thickTop="1" x14ac:dyDescent="0.2"/>
    <row r="23" spans="2:14" ht="12.75" customHeight="1" x14ac:dyDescent="0.2">
      <c r="F23" s="27" t="s">
        <v>92</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II'!A1" display="Click Here To Proceed To Part III"/>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zoomScale="75" zoomScaleNormal="75" workbookViewId="0"/>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21</v>
      </c>
      <c r="C3" s="4"/>
      <c r="D3" s="9"/>
    </row>
    <row r="4" spans="2:14" ht="18.75" thickBot="1" x14ac:dyDescent="0.25">
      <c r="B4" s="5"/>
      <c r="C4" s="5"/>
    </row>
    <row r="5" spans="2:14" ht="25.5" customHeight="1" thickTop="1" thickBot="1" x14ac:dyDescent="0.25">
      <c r="B5" s="5" t="s">
        <v>23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24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25</v>
      </c>
      <c r="C9" s="5"/>
      <c r="D9" s="8"/>
    </row>
    <row r="10" spans="2:14" ht="19.5" thickTop="1" thickBot="1" x14ac:dyDescent="0.25">
      <c r="B10" s="5"/>
      <c r="C10" s="5"/>
    </row>
    <row r="11" spans="2:14" ht="25.5" customHeight="1" thickTop="1" thickBot="1" x14ac:dyDescent="0.25">
      <c r="B11" s="5" t="s">
        <v>26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27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28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29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30</v>
      </c>
      <c r="C19" s="5"/>
      <c r="D19" s="8"/>
    </row>
    <row r="20" spans="2:14" ht="19.5" thickTop="1" thickBot="1" x14ac:dyDescent="0.25">
      <c r="B20" s="5"/>
      <c r="C20" s="5"/>
    </row>
    <row r="21" spans="2:14" ht="25.5" customHeight="1" thickTop="1" thickBot="1" x14ac:dyDescent="0.25">
      <c r="B21" s="5" t="s">
        <v>31</v>
      </c>
      <c r="C21" s="5"/>
      <c r="D21" s="8"/>
    </row>
    <row r="22" spans="2:14" ht="18.75" thickTop="1" x14ac:dyDescent="0.2"/>
    <row r="23" spans="2:14" ht="12.75" customHeight="1" x14ac:dyDescent="0.2">
      <c r="F23" s="27" t="s">
        <v>93</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IV'!A1" display="Click Here To Proceed To Part IV"/>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3"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32</v>
      </c>
      <c r="C3" s="4"/>
      <c r="D3" s="9"/>
    </row>
    <row r="4" spans="2:14" ht="18.75" thickBot="1" x14ac:dyDescent="0.25">
      <c r="B4" s="5"/>
      <c r="C4" s="5"/>
    </row>
    <row r="5" spans="2:14" ht="25.5" customHeight="1" thickTop="1" thickBot="1" x14ac:dyDescent="0.25">
      <c r="B5" s="5" t="s">
        <v>33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34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35</v>
      </c>
      <c r="C9" s="5"/>
      <c r="D9" s="8"/>
    </row>
    <row r="10" spans="2:14" ht="19.5" thickTop="1" thickBot="1" x14ac:dyDescent="0.25">
      <c r="B10" s="5"/>
      <c r="C10" s="5"/>
    </row>
    <row r="11" spans="2:14" ht="25.5" customHeight="1" thickTop="1" thickBot="1" x14ac:dyDescent="0.25">
      <c r="B11" s="5" t="s">
        <v>36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41</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40</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39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38</v>
      </c>
      <c r="C19" s="5"/>
      <c r="D19" s="8"/>
    </row>
    <row r="20" spans="2:14" ht="19.5" thickTop="1" thickBot="1" x14ac:dyDescent="0.25">
      <c r="B20" s="5"/>
      <c r="C20" s="5"/>
    </row>
    <row r="21" spans="2:14" ht="25.5" customHeight="1" thickTop="1" thickBot="1" x14ac:dyDescent="0.25">
      <c r="B21" s="5" t="s">
        <v>37</v>
      </c>
      <c r="C21" s="5"/>
      <c r="D21" s="8"/>
    </row>
    <row r="22" spans="2:14" ht="18.75" thickTop="1" x14ac:dyDescent="0.2"/>
    <row r="23" spans="2:14" ht="12.75" customHeight="1" x14ac:dyDescent="0.2">
      <c r="F23" s="27" t="s">
        <v>94</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A1" display="Click Here To Proceed To Part V"/>
  </hyperlink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2"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x14ac:dyDescent="0.25">
      <c r="B3" s="7" t="s">
        <v>42</v>
      </c>
      <c r="C3" s="4"/>
      <c r="D3" s="9"/>
    </row>
    <row r="4" spans="2:14" ht="18.75" thickBot="1" x14ac:dyDescent="0.25">
      <c r="B4" s="5"/>
      <c r="C4" s="5"/>
    </row>
    <row r="5" spans="2:14" ht="25.5" customHeight="1" thickTop="1" thickBot="1" x14ac:dyDescent="0.25">
      <c r="B5" s="5" t="s">
        <v>43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44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51</v>
      </c>
      <c r="C9" s="5"/>
      <c r="D9" s="8"/>
    </row>
    <row r="10" spans="2:14" ht="19.5" thickTop="1" thickBot="1" x14ac:dyDescent="0.25">
      <c r="B10" s="5"/>
      <c r="C10" s="5"/>
    </row>
    <row r="11" spans="2:14" ht="25.5" customHeight="1" thickTop="1" thickBot="1" x14ac:dyDescent="0.25">
      <c r="B11" s="5" t="s">
        <v>45</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46</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47</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48</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49</v>
      </c>
      <c r="C19" s="5"/>
      <c r="D19" s="8"/>
    </row>
    <row r="20" spans="2:14" ht="19.5" thickTop="1" thickBot="1" x14ac:dyDescent="0.25">
      <c r="B20" s="5"/>
      <c r="C20" s="5"/>
    </row>
    <row r="21" spans="2:14" ht="25.5" customHeight="1" thickTop="1" thickBot="1" x14ac:dyDescent="0.25">
      <c r="B21" s="5" t="s">
        <v>50</v>
      </c>
      <c r="C21" s="5"/>
      <c r="D21" s="8"/>
    </row>
    <row r="22" spans="2:14" ht="18.75" thickTop="1" x14ac:dyDescent="0.2"/>
    <row r="23" spans="2:14" ht="12.75" customHeight="1" x14ac:dyDescent="0.2">
      <c r="F23" s="27" t="s">
        <v>95</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I'!A1" display="Click Here To Proceed To Part VI"/>
  </hyperlink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4"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52</v>
      </c>
      <c r="C3" s="4"/>
      <c r="D3" s="9"/>
    </row>
    <row r="4" spans="2:14" ht="18.75" thickBot="1" x14ac:dyDescent="0.25">
      <c r="B4" s="5"/>
      <c r="C4" s="5"/>
    </row>
    <row r="5" spans="2:14" ht="25.5" customHeight="1" thickTop="1" thickBot="1" x14ac:dyDescent="0.25">
      <c r="B5" s="5" t="s">
        <v>53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54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55</v>
      </c>
      <c r="C9" s="5"/>
      <c r="D9" s="8"/>
    </row>
    <row r="10" spans="2:14" ht="19.5" thickTop="1" thickBot="1" x14ac:dyDescent="0.25">
      <c r="B10" s="5"/>
      <c r="C10" s="5"/>
    </row>
    <row r="11" spans="2:14" ht="25.5" customHeight="1" thickTop="1" thickBot="1" x14ac:dyDescent="0.25">
      <c r="B11" s="5" t="s">
        <v>56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57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58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59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60</v>
      </c>
      <c r="C19" s="5"/>
      <c r="D19" s="8"/>
    </row>
    <row r="20" spans="2:14" ht="19.5" thickTop="1" thickBot="1" x14ac:dyDescent="0.25">
      <c r="B20" s="5"/>
      <c r="C20" s="5"/>
    </row>
    <row r="21" spans="2:14" ht="25.5" customHeight="1" thickTop="1" thickBot="1" x14ac:dyDescent="0.25">
      <c r="B21" s="5" t="s">
        <v>61</v>
      </c>
      <c r="C21" s="5"/>
      <c r="D21" s="8"/>
    </row>
    <row r="22" spans="2:14" ht="25.5" customHeight="1" thickTop="1" x14ac:dyDescent="0.2">
      <c r="B22" s="5"/>
      <c r="C22" s="5"/>
      <c r="D22" s="21"/>
    </row>
    <row r="23" spans="2:14" ht="13.5" customHeight="1" x14ac:dyDescent="0.2">
      <c r="F23" s="27" t="s">
        <v>96</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Part VII'!A1" display="Click Here To Proceed To Part VII"/>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N25"/>
  <sheetViews>
    <sheetView topLeftCell="A4" zoomScale="75" zoomScaleNormal="75" workbookViewId="0">
      <selection activeCell="F23" sqref="F23:N25"/>
    </sheetView>
  </sheetViews>
  <sheetFormatPr defaultRowHeight="18" x14ac:dyDescent="0.2"/>
  <cols>
    <col min="1" max="1" width="3" style="3" customWidth="1"/>
    <col min="2" max="2" width="59.28515625" style="2" bestFit="1" customWidth="1"/>
    <col min="3" max="3" width="2.28515625" style="2" customWidth="1"/>
    <col min="4" max="4" width="9.140625" style="9"/>
    <col min="5" max="16384" width="9.140625" style="3"/>
  </cols>
  <sheetData>
    <row r="3" spans="2:14" s="1" customFormat="1" ht="36" x14ac:dyDescent="0.25">
      <c r="B3" s="7" t="s">
        <v>62</v>
      </c>
      <c r="C3" s="4"/>
      <c r="D3" s="9"/>
    </row>
    <row r="4" spans="2:14" ht="18.75" thickBot="1" x14ac:dyDescent="0.25">
      <c r="B4" s="5"/>
      <c r="C4" s="5"/>
    </row>
    <row r="5" spans="2:14" ht="25.5" customHeight="1" thickTop="1" thickBot="1" x14ac:dyDescent="0.25">
      <c r="B5" s="5" t="s">
        <v>63</v>
      </c>
      <c r="C5" s="5"/>
      <c r="D5" s="8"/>
      <c r="F5" s="30" t="s">
        <v>10</v>
      </c>
      <c r="G5" s="31"/>
      <c r="H5" s="31"/>
      <c r="I5" s="31"/>
      <c r="J5" s="31"/>
      <c r="K5" s="31"/>
      <c r="L5" s="31"/>
      <c r="M5" s="31"/>
      <c r="N5" s="31"/>
    </row>
    <row r="6" spans="2:14" ht="19.5" thickTop="1" thickBot="1" x14ac:dyDescent="0.25">
      <c r="B6" s="5"/>
      <c r="C6" s="5"/>
      <c r="F6" s="31"/>
      <c r="G6" s="31"/>
      <c r="H6" s="31"/>
      <c r="I6" s="31"/>
      <c r="J6" s="31"/>
      <c r="K6" s="31"/>
      <c r="L6" s="31"/>
      <c r="M6" s="31"/>
      <c r="N6" s="31"/>
    </row>
    <row r="7" spans="2:14" ht="25.5" customHeight="1" thickTop="1" thickBot="1" x14ac:dyDescent="0.25">
      <c r="B7" s="5" t="s">
        <v>64</v>
      </c>
      <c r="C7" s="5"/>
      <c r="D7" s="8"/>
      <c r="F7" s="31"/>
      <c r="G7" s="31"/>
      <c r="H7" s="31"/>
      <c r="I7" s="31"/>
      <c r="J7" s="31"/>
      <c r="K7" s="31"/>
      <c r="L7" s="31"/>
      <c r="M7" s="31"/>
      <c r="N7" s="31"/>
    </row>
    <row r="8" spans="2:14" ht="19.5" thickTop="1" thickBot="1" x14ac:dyDescent="0.25">
      <c r="B8" s="5"/>
      <c r="C8" s="5"/>
    </row>
    <row r="9" spans="2:14" ht="25.5" customHeight="1" thickTop="1" thickBot="1" x14ac:dyDescent="0.25">
      <c r="B9" s="5" t="s">
        <v>65</v>
      </c>
      <c r="C9" s="5"/>
      <c r="D9" s="8"/>
    </row>
    <row r="10" spans="2:14" ht="19.5" thickTop="1" thickBot="1" x14ac:dyDescent="0.25">
      <c r="B10" s="5"/>
      <c r="C10" s="5"/>
    </row>
    <row r="11" spans="2:14" ht="25.5" customHeight="1" thickTop="1" thickBot="1" x14ac:dyDescent="0.25">
      <c r="B11" s="5" t="s">
        <v>66</v>
      </c>
      <c r="C11" s="5"/>
      <c r="D11" s="8"/>
      <c r="F11" s="32" t="s">
        <v>9</v>
      </c>
      <c r="G11" s="33"/>
      <c r="I11" s="8">
        <f>10-SUM(D5,D7,D9,D11,D13,D15,D17,D19,D21)</f>
        <v>10</v>
      </c>
      <c r="J11" s="34" t="str">
        <f>IF(I11&lt;0,"TOO MANY POINTS!","")</f>
        <v/>
      </c>
      <c r="K11" s="34"/>
      <c r="L11" s="34"/>
      <c r="M11" s="34"/>
      <c r="N11" s="6">
        <f>IF(J11="",0,1)</f>
        <v>0</v>
      </c>
    </row>
    <row r="12" spans="2:14" ht="19.5" thickTop="1" thickBot="1" x14ac:dyDescent="0.25">
      <c r="B12" s="5"/>
      <c r="C12" s="5"/>
      <c r="N12" s="6"/>
    </row>
    <row r="13" spans="2:14" ht="25.5" customHeight="1" thickTop="1" thickBot="1" x14ac:dyDescent="0.25">
      <c r="B13" s="5" t="s">
        <v>67</v>
      </c>
      <c r="C13" s="5"/>
      <c r="D13" s="8"/>
      <c r="J13" s="28" t="str">
        <f>IF(I11&gt;0,"YOU HAVE NOT USED ALL OF YOUR POINTS YET","")</f>
        <v>YOU HAVE NOT USED ALL OF YOUR POINTS YET</v>
      </c>
      <c r="K13" s="28"/>
      <c r="L13" s="28"/>
      <c r="M13" s="28"/>
      <c r="N13" s="6">
        <f>IF(J13="",0,1)</f>
        <v>1</v>
      </c>
    </row>
    <row r="14" spans="2:14" ht="19.5" thickTop="1" thickBot="1" x14ac:dyDescent="0.25">
      <c r="B14" s="5"/>
      <c r="C14" s="5"/>
      <c r="N14" s="6"/>
    </row>
    <row r="15" spans="2:14" ht="25.5" customHeight="1" thickTop="1" thickBot="1" x14ac:dyDescent="0.25">
      <c r="B15" s="5" t="s">
        <v>68</v>
      </c>
      <c r="C15" s="5"/>
      <c r="D15" s="8"/>
      <c r="J15" s="28" t="str">
        <f>IF(PRODUCT(D5,D7,D9,D11,D13,D15,D17,D19,D21)&lt;0,"YOU MAY NOT AWARD NEGATIVE POINTS!","")</f>
        <v/>
      </c>
      <c r="K15" s="28"/>
      <c r="L15" s="28"/>
      <c r="M15" s="28"/>
      <c r="N15" s="6">
        <f>IF(J15="",0,1)</f>
        <v>0</v>
      </c>
    </row>
    <row r="16" spans="2:14" ht="19.5" thickTop="1" thickBot="1" x14ac:dyDescent="0.25">
      <c r="B16" s="5"/>
      <c r="C16" s="5"/>
      <c r="N16" s="6"/>
    </row>
    <row r="17" spans="2:14" ht="25.5" customHeight="1" thickTop="1" thickBot="1" x14ac:dyDescent="0.25">
      <c r="B17" s="5" t="s">
        <v>69</v>
      </c>
      <c r="C17" s="5"/>
      <c r="D17" s="8"/>
      <c r="J17" s="29" t="str">
        <f>IF(N17=0,"THANK YOU, YOU MAY CONTINUE","")</f>
        <v/>
      </c>
      <c r="K17" s="29"/>
      <c r="L17" s="29"/>
      <c r="M17" s="29"/>
      <c r="N17" s="6">
        <f>SUM(N15,N13,N11)</f>
        <v>1</v>
      </c>
    </row>
    <row r="18" spans="2:14" ht="19.5" thickTop="1" thickBot="1" x14ac:dyDescent="0.25">
      <c r="B18" s="5"/>
      <c r="C18" s="5"/>
    </row>
    <row r="19" spans="2:14" ht="25.5" customHeight="1" thickTop="1" thickBot="1" x14ac:dyDescent="0.25">
      <c r="B19" s="5" t="s">
        <v>70</v>
      </c>
      <c r="C19" s="5"/>
      <c r="D19" s="8"/>
    </row>
    <row r="20" spans="2:14" ht="19.5" thickTop="1" thickBot="1" x14ac:dyDescent="0.25">
      <c r="B20" s="5"/>
      <c r="C20" s="5"/>
    </row>
    <row r="21" spans="2:14" ht="25.5" customHeight="1" thickTop="1" thickBot="1" x14ac:dyDescent="0.25">
      <c r="B21" s="5" t="s">
        <v>71</v>
      </c>
      <c r="C21" s="5"/>
      <c r="D21" s="8"/>
    </row>
    <row r="22" spans="2:14" ht="18.75" thickTop="1" x14ac:dyDescent="0.2"/>
    <row r="23" spans="2:14" x14ac:dyDescent="0.2">
      <c r="F23" s="27" t="s">
        <v>97</v>
      </c>
      <c r="G23" s="27"/>
      <c r="H23" s="27"/>
      <c r="I23" s="27"/>
      <c r="J23" s="27"/>
      <c r="K23" s="27"/>
      <c r="L23" s="27"/>
      <c r="M23" s="27"/>
      <c r="N23" s="27"/>
    </row>
    <row r="24" spans="2:14" x14ac:dyDescent="0.2">
      <c r="F24" s="27"/>
      <c r="G24" s="27"/>
      <c r="H24" s="27"/>
      <c r="I24" s="27"/>
      <c r="J24" s="27"/>
      <c r="K24" s="27"/>
      <c r="L24" s="27"/>
      <c r="M24" s="27"/>
      <c r="N24" s="27"/>
    </row>
    <row r="25" spans="2:14" x14ac:dyDescent="0.2">
      <c r="F25" s="27"/>
      <c r="G25" s="27"/>
      <c r="H25" s="27"/>
      <c r="I25" s="27"/>
      <c r="J25" s="27"/>
      <c r="K25" s="27"/>
      <c r="L25" s="27"/>
      <c r="M25" s="27"/>
      <c r="N25" s="27"/>
    </row>
  </sheetData>
  <mergeCells count="7">
    <mergeCell ref="J15:M15"/>
    <mergeCell ref="J17:M17"/>
    <mergeCell ref="F23:N25"/>
    <mergeCell ref="F5:N7"/>
    <mergeCell ref="F11:G11"/>
    <mergeCell ref="J11:M11"/>
    <mergeCell ref="J13:M13"/>
  </mergeCells>
  <phoneticPr fontId="0" type="noConversion"/>
  <hyperlinks>
    <hyperlink ref="F23:N25" location="Results!A1" display="Click Here To Proceed To the Results Page"/>
  </hyperlink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Q42"/>
  <sheetViews>
    <sheetView topLeftCell="A4" workbookViewId="0"/>
  </sheetViews>
  <sheetFormatPr defaultRowHeight="12.75" x14ac:dyDescent="0.2"/>
  <cols>
    <col min="1" max="2" width="9.140625" style="11"/>
    <col min="3" max="3" width="20.85546875" style="11" bestFit="1" customWidth="1"/>
    <col min="4" max="4" width="2.28515625" style="11" customWidth="1"/>
    <col min="5" max="16384" width="9.140625" style="11"/>
  </cols>
  <sheetData>
    <row r="4" spans="3:13" x14ac:dyDescent="0.2">
      <c r="C4" s="10" t="s">
        <v>72</v>
      </c>
      <c r="D4" s="10"/>
      <c r="E4" s="35" t="s">
        <v>80</v>
      </c>
      <c r="F4" s="35"/>
      <c r="G4" s="35"/>
      <c r="H4" s="35"/>
      <c r="I4" s="35"/>
      <c r="J4" s="35"/>
      <c r="K4" s="35"/>
      <c r="L4" s="35"/>
      <c r="M4" s="35"/>
    </row>
    <row r="5" spans="3:13" ht="13.5" thickBot="1" x14ac:dyDescent="0.25">
      <c r="C5" s="12"/>
      <c r="D5" s="12"/>
      <c r="E5" s="12"/>
      <c r="F5" s="12"/>
      <c r="G5" s="12"/>
      <c r="H5" s="12"/>
      <c r="I5" s="12"/>
      <c r="J5" s="12"/>
      <c r="K5" s="12"/>
      <c r="L5" s="12"/>
      <c r="M5" s="12"/>
    </row>
    <row r="6" spans="3:13" ht="13.5" thickTop="1" x14ac:dyDescent="0.2">
      <c r="C6" s="13" t="s">
        <v>73</v>
      </c>
      <c r="D6" s="13"/>
      <c r="E6" s="18">
        <f>'Part I'!D9</f>
        <v>0</v>
      </c>
      <c r="F6" s="18">
        <f>'Part I'!D13</f>
        <v>0</v>
      </c>
      <c r="G6" s="18">
        <f>'Part I'!D21</f>
        <v>0</v>
      </c>
      <c r="H6" s="18">
        <f>'Part I'!D19</f>
        <v>0</v>
      </c>
      <c r="I6" s="18">
        <f>'Part I'!D5</f>
        <v>0</v>
      </c>
      <c r="J6" s="18">
        <f>'Part I'!D17</f>
        <v>0</v>
      </c>
      <c r="K6" s="18">
        <f>'Part I'!D7</f>
        <v>0</v>
      </c>
      <c r="L6" s="18">
        <f>'Part I'!D11</f>
        <v>0</v>
      </c>
      <c r="M6" s="18">
        <f>'Part I'!D15</f>
        <v>0</v>
      </c>
    </row>
    <row r="7" spans="3:13" x14ac:dyDescent="0.2">
      <c r="C7" s="13" t="s">
        <v>74</v>
      </c>
      <c r="D7" s="13"/>
      <c r="E7" s="19">
        <f>'Part II'!D5</f>
        <v>0</v>
      </c>
      <c r="F7" s="19">
        <f>'Part II'!D17</f>
        <v>0</v>
      </c>
      <c r="G7" s="19">
        <f>'Part II'!D15</f>
        <v>0</v>
      </c>
      <c r="H7" s="19">
        <f>'Part II'!D11</f>
        <v>0</v>
      </c>
      <c r="I7" s="19">
        <f>'Part II'!D21</f>
        <v>0</v>
      </c>
      <c r="J7" s="19">
        <f>'Part II'!D7</f>
        <v>0</v>
      </c>
      <c r="K7" s="19">
        <f>'Part II'!D9</f>
        <v>0</v>
      </c>
      <c r="L7" s="19">
        <f>'Part II'!D13</f>
        <v>0</v>
      </c>
      <c r="M7" s="19">
        <f>'Part II'!D19</f>
        <v>0</v>
      </c>
    </row>
    <row r="8" spans="3:13" x14ac:dyDescent="0.2">
      <c r="C8" s="13" t="s">
        <v>75</v>
      </c>
      <c r="D8" s="13"/>
      <c r="E8" s="19">
        <f>'Part III'!D21</f>
        <v>0</v>
      </c>
      <c r="F8" s="19">
        <f>'Part III'!D9</f>
        <v>0</v>
      </c>
      <c r="G8" s="19">
        <f>'Part III'!D19</f>
        <v>0</v>
      </c>
      <c r="H8" s="19">
        <f>'Part III'!D5</f>
        <v>0</v>
      </c>
      <c r="I8" s="19">
        <f>'Part III'!D11</f>
        <v>0</v>
      </c>
      <c r="J8" s="19">
        <f>'Part III'!D15</f>
        <v>0</v>
      </c>
      <c r="K8" s="19">
        <f>'Part III'!D17</f>
        <v>0</v>
      </c>
      <c r="L8" s="19">
        <f>'Part III'!D7</f>
        <v>0</v>
      </c>
      <c r="M8" s="19">
        <f>'Part III'!D13</f>
        <v>0</v>
      </c>
    </row>
    <row r="9" spans="3:13" x14ac:dyDescent="0.2">
      <c r="C9" s="13" t="s">
        <v>76</v>
      </c>
      <c r="D9" s="13"/>
      <c r="E9" s="19">
        <f>'Part IV'!D11</f>
        <v>0</v>
      </c>
      <c r="F9" s="19">
        <f>'Part IV'!D7</f>
        <v>0</v>
      </c>
      <c r="G9" s="19">
        <f>'Part IV'!D9</f>
        <v>0</v>
      </c>
      <c r="H9" s="19">
        <f>'Part IV'!D13</f>
        <v>0</v>
      </c>
      <c r="I9" s="19">
        <f>'Part IV'!D15</f>
        <v>0</v>
      </c>
      <c r="J9" s="19">
        <f>'Part IV'!D19</f>
        <v>0</v>
      </c>
      <c r="K9" s="19">
        <f>'Part IV'!D5</f>
        <v>0</v>
      </c>
      <c r="L9" s="19">
        <f>'Part IV'!D17</f>
        <v>0</v>
      </c>
      <c r="M9" s="19">
        <f>'Part IV'!D21</f>
        <v>0</v>
      </c>
    </row>
    <row r="10" spans="3:13" x14ac:dyDescent="0.2">
      <c r="C10" s="13" t="s">
        <v>77</v>
      </c>
      <c r="D10" s="13"/>
      <c r="E10" s="19">
        <f>'Part V'!D13</f>
        <v>0</v>
      </c>
      <c r="F10" s="19">
        <f>'Part V'!D19</f>
        <v>0</v>
      </c>
      <c r="G10" s="19">
        <f>'Part V'!D21</f>
        <v>0</v>
      </c>
      <c r="H10" s="19">
        <f>'Part V'!D9</f>
        <v>0</v>
      </c>
      <c r="I10" s="19">
        <f>'Part V'!D17</f>
        <v>0</v>
      </c>
      <c r="J10" s="19">
        <f>'Part V'!D5</f>
        <v>0</v>
      </c>
      <c r="K10" s="19">
        <f>'Part V'!D15</f>
        <v>0</v>
      </c>
      <c r="L10" s="19">
        <f>'Part V'!D11</f>
        <v>0</v>
      </c>
      <c r="M10" s="19">
        <f>'Part V'!D7</f>
        <v>0</v>
      </c>
    </row>
    <row r="11" spans="3:13" x14ac:dyDescent="0.2">
      <c r="C11" s="13" t="s">
        <v>78</v>
      </c>
      <c r="D11" s="13"/>
      <c r="E11" s="19">
        <f>'Part VI'!D7</f>
        <v>0</v>
      </c>
      <c r="F11" s="19">
        <f>'Part VI'!D13</f>
        <v>0</v>
      </c>
      <c r="G11" s="19">
        <f>'Part VI'!D17</f>
        <v>0</v>
      </c>
      <c r="H11" s="19">
        <f>'Part VI'!D15</f>
        <v>0</v>
      </c>
      <c r="I11" s="19">
        <f>'Part VI'!D9</f>
        <v>0</v>
      </c>
      <c r="J11" s="19">
        <f>'Part VI'!D11</f>
        <v>0</v>
      </c>
      <c r="K11" s="19">
        <f>'Part VI'!D21</f>
        <v>0</v>
      </c>
      <c r="L11" s="19">
        <f>'Part VI'!D19</f>
        <v>0</v>
      </c>
      <c r="M11" s="19">
        <f>'Part VI'!D5</f>
        <v>0</v>
      </c>
    </row>
    <row r="12" spans="3:13" ht="13.5" thickBot="1" x14ac:dyDescent="0.25">
      <c r="C12" s="13" t="s">
        <v>79</v>
      </c>
      <c r="D12" s="13"/>
      <c r="E12" s="19">
        <f>'Part VII'!D19</f>
        <v>0</v>
      </c>
      <c r="F12" s="19">
        <f>'Part VII'!D11</f>
        <v>0</v>
      </c>
      <c r="G12" s="19">
        <f>'Part VII'!D5</f>
        <v>0</v>
      </c>
      <c r="H12" s="19">
        <f>'Part VII'!D21</f>
        <v>0</v>
      </c>
      <c r="I12" s="19">
        <f>'Part VII'!D13</f>
        <v>0</v>
      </c>
      <c r="J12" s="19">
        <f>'Part VII'!D17</f>
        <v>0</v>
      </c>
      <c r="K12" s="19">
        <f>'Part VII'!D7</f>
        <v>0</v>
      </c>
      <c r="L12" s="19">
        <f>'Part VII'!D15</f>
        <v>0</v>
      </c>
      <c r="M12" s="19">
        <f>'Part VII'!D9</f>
        <v>0</v>
      </c>
    </row>
    <row r="13" spans="3:13" ht="14.25" thickTop="1" thickBot="1" x14ac:dyDescent="0.25">
      <c r="C13" s="13" t="s">
        <v>80</v>
      </c>
      <c r="D13" s="13"/>
      <c r="E13" s="20">
        <f t="shared" ref="E13:M13" si="0">SUM(E6:E12)</f>
        <v>0</v>
      </c>
      <c r="F13" s="20">
        <f t="shared" si="0"/>
        <v>0</v>
      </c>
      <c r="G13" s="20">
        <f t="shared" si="0"/>
        <v>0</v>
      </c>
      <c r="H13" s="20">
        <f t="shared" si="0"/>
        <v>0</v>
      </c>
      <c r="I13" s="20">
        <f t="shared" si="0"/>
        <v>0</v>
      </c>
      <c r="J13" s="20">
        <f t="shared" si="0"/>
        <v>0</v>
      </c>
      <c r="K13" s="20">
        <f t="shared" si="0"/>
        <v>0</v>
      </c>
      <c r="L13" s="20">
        <f t="shared" si="0"/>
        <v>0</v>
      </c>
      <c r="M13" s="20">
        <f t="shared" si="0"/>
        <v>0</v>
      </c>
    </row>
    <row r="14" spans="3:13" ht="13.5" thickTop="1" x14ac:dyDescent="0.2">
      <c r="C14" s="12"/>
      <c r="D14" s="12"/>
      <c r="E14" s="12"/>
      <c r="F14" s="12"/>
      <c r="G14" s="12"/>
      <c r="H14" s="12"/>
      <c r="I14" s="12"/>
      <c r="J14" s="12"/>
      <c r="K14" s="12"/>
      <c r="L14" s="12"/>
      <c r="M14" s="12"/>
    </row>
    <row r="15" spans="3:13" x14ac:dyDescent="0.2">
      <c r="C15" s="12"/>
      <c r="D15" s="12"/>
      <c r="E15" s="12"/>
      <c r="F15" s="12"/>
      <c r="G15" s="12"/>
      <c r="H15" s="12"/>
      <c r="I15" s="12"/>
      <c r="J15" s="12"/>
      <c r="K15" s="12"/>
      <c r="L15" s="12"/>
      <c r="M15" s="12"/>
    </row>
    <row r="16" spans="3:13" x14ac:dyDescent="0.2">
      <c r="C16" s="14" t="s">
        <v>81</v>
      </c>
      <c r="D16" s="14"/>
      <c r="E16" s="12"/>
      <c r="F16" s="12"/>
      <c r="G16" s="12"/>
      <c r="H16" s="12"/>
      <c r="I16" s="12"/>
      <c r="J16" s="12"/>
      <c r="K16" s="12"/>
      <c r="L16" s="12"/>
      <c r="M16" s="12"/>
    </row>
    <row r="17" spans="2:13" x14ac:dyDescent="0.2">
      <c r="C17" s="12"/>
      <c r="D17" s="12"/>
      <c r="E17" s="12"/>
      <c r="F17" s="12"/>
      <c r="G17" s="12"/>
      <c r="H17" s="12"/>
      <c r="I17" s="12"/>
      <c r="J17" s="12"/>
      <c r="K17" s="12"/>
      <c r="L17" s="12"/>
      <c r="M17" s="12"/>
    </row>
    <row r="18" spans="2:13" x14ac:dyDescent="0.2">
      <c r="B18" s="16" t="str">
        <f>IF(F18&lt;3,"==&gt;","")</f>
        <v>==&gt;</v>
      </c>
      <c r="C18" s="15" t="s">
        <v>82</v>
      </c>
      <c r="D18" s="15"/>
      <c r="E18" s="15">
        <f>E13</f>
        <v>0</v>
      </c>
      <c r="F18" s="17">
        <f t="shared" ref="F18:F26" si="1">RANK(E18,$E$18:$E$26)</f>
        <v>1</v>
      </c>
      <c r="G18" s="12"/>
      <c r="H18" s="12"/>
      <c r="I18" s="12"/>
      <c r="J18" s="12"/>
      <c r="K18" s="12"/>
      <c r="L18" s="12"/>
      <c r="M18" s="12"/>
    </row>
    <row r="19" spans="2:13" x14ac:dyDescent="0.2">
      <c r="B19" s="16" t="str">
        <f t="shared" ref="B19:B26" si="2">IF(F19&lt;3,"==&gt;","")</f>
        <v>==&gt;</v>
      </c>
      <c r="C19" s="15" t="s">
        <v>83</v>
      </c>
      <c r="D19" s="15"/>
      <c r="E19" s="15">
        <f>F13</f>
        <v>0</v>
      </c>
      <c r="F19" s="17">
        <f t="shared" si="1"/>
        <v>1</v>
      </c>
      <c r="G19" s="12"/>
      <c r="H19" s="12"/>
      <c r="I19" s="12"/>
      <c r="J19" s="12"/>
      <c r="K19" s="12"/>
      <c r="L19" s="12"/>
      <c r="M19" s="12"/>
    </row>
    <row r="20" spans="2:13" x14ac:dyDescent="0.2">
      <c r="B20" s="16" t="str">
        <f t="shared" si="2"/>
        <v>==&gt;</v>
      </c>
      <c r="C20" s="15" t="s">
        <v>84</v>
      </c>
      <c r="D20" s="15"/>
      <c r="E20" s="15">
        <f>G13</f>
        <v>0</v>
      </c>
      <c r="F20" s="17">
        <f t="shared" si="1"/>
        <v>1</v>
      </c>
      <c r="G20" s="12"/>
      <c r="H20" s="12"/>
      <c r="I20" s="12"/>
      <c r="J20" s="12"/>
      <c r="K20" s="12"/>
      <c r="L20" s="12"/>
      <c r="M20" s="12"/>
    </row>
    <row r="21" spans="2:13" x14ac:dyDescent="0.2">
      <c r="B21" s="16" t="str">
        <f t="shared" si="2"/>
        <v>==&gt;</v>
      </c>
      <c r="C21" s="15" t="s">
        <v>85</v>
      </c>
      <c r="D21" s="15"/>
      <c r="E21" s="15">
        <f>H13</f>
        <v>0</v>
      </c>
      <c r="F21" s="17">
        <f t="shared" si="1"/>
        <v>1</v>
      </c>
      <c r="G21" s="12"/>
      <c r="H21" s="12"/>
      <c r="I21" s="12"/>
      <c r="J21" s="12"/>
      <c r="K21" s="12"/>
      <c r="L21" s="12"/>
      <c r="M21" s="12"/>
    </row>
    <row r="22" spans="2:13" x14ac:dyDescent="0.2">
      <c r="B22" s="16" t="str">
        <f t="shared" si="2"/>
        <v>==&gt;</v>
      </c>
      <c r="C22" s="15" t="s">
        <v>86</v>
      </c>
      <c r="D22" s="15"/>
      <c r="E22" s="15">
        <f>I13</f>
        <v>0</v>
      </c>
      <c r="F22" s="17">
        <f t="shared" si="1"/>
        <v>1</v>
      </c>
      <c r="G22" s="12"/>
      <c r="H22" s="12"/>
      <c r="I22" s="12"/>
      <c r="J22" s="12"/>
      <c r="K22" s="12"/>
      <c r="L22" s="12"/>
      <c r="M22" s="12"/>
    </row>
    <row r="23" spans="2:13" x14ac:dyDescent="0.2">
      <c r="B23" s="16" t="str">
        <f t="shared" si="2"/>
        <v>==&gt;</v>
      </c>
      <c r="C23" s="15" t="s">
        <v>87</v>
      </c>
      <c r="D23" s="15"/>
      <c r="E23" s="15">
        <f>J13</f>
        <v>0</v>
      </c>
      <c r="F23" s="17">
        <f t="shared" si="1"/>
        <v>1</v>
      </c>
      <c r="G23" s="12"/>
      <c r="H23" s="12"/>
      <c r="I23" s="12"/>
      <c r="J23" s="12"/>
      <c r="K23" s="12"/>
      <c r="L23" s="12"/>
      <c r="M23" s="12"/>
    </row>
    <row r="24" spans="2:13" x14ac:dyDescent="0.2">
      <c r="B24" s="16" t="str">
        <f t="shared" si="2"/>
        <v>==&gt;</v>
      </c>
      <c r="C24" s="15" t="s">
        <v>88</v>
      </c>
      <c r="D24" s="15"/>
      <c r="E24" s="15">
        <f>K13</f>
        <v>0</v>
      </c>
      <c r="F24" s="17">
        <f t="shared" si="1"/>
        <v>1</v>
      </c>
      <c r="G24" s="12"/>
      <c r="H24" s="12"/>
      <c r="I24" s="12"/>
      <c r="J24" s="12"/>
      <c r="K24" s="12"/>
      <c r="L24" s="12"/>
      <c r="M24" s="12"/>
    </row>
    <row r="25" spans="2:13" x14ac:dyDescent="0.2">
      <c r="B25" s="16" t="str">
        <f t="shared" si="2"/>
        <v>==&gt;</v>
      </c>
      <c r="C25" s="15" t="s">
        <v>89</v>
      </c>
      <c r="D25" s="15"/>
      <c r="E25" s="15">
        <f>L13</f>
        <v>0</v>
      </c>
      <c r="F25" s="17">
        <f t="shared" si="1"/>
        <v>1</v>
      </c>
      <c r="G25" s="12"/>
      <c r="H25" s="12"/>
      <c r="I25" s="12"/>
      <c r="J25" s="12"/>
      <c r="K25" s="12"/>
      <c r="L25" s="12"/>
      <c r="M25" s="12"/>
    </row>
    <row r="26" spans="2:13" x14ac:dyDescent="0.2">
      <c r="B26" s="16" t="str">
        <f t="shared" si="2"/>
        <v>==&gt;</v>
      </c>
      <c r="C26" s="15" t="s">
        <v>90</v>
      </c>
      <c r="D26" s="15"/>
      <c r="E26" s="15">
        <f>M13</f>
        <v>0</v>
      </c>
      <c r="F26" s="17">
        <f t="shared" si="1"/>
        <v>1</v>
      </c>
      <c r="G26" s="12"/>
      <c r="H26" s="12"/>
      <c r="I26" s="12"/>
      <c r="J26" s="12"/>
      <c r="K26" s="12"/>
      <c r="L26" s="12"/>
      <c r="M26" s="12"/>
    </row>
    <row r="40" spans="9:17" ht="12.75" customHeight="1" x14ac:dyDescent="0.2">
      <c r="I40" s="27"/>
      <c r="J40" s="27"/>
      <c r="K40" s="27"/>
      <c r="L40" s="27"/>
      <c r="M40" s="27"/>
      <c r="N40" s="27"/>
      <c r="O40" s="27"/>
      <c r="P40" s="27"/>
      <c r="Q40" s="27"/>
    </row>
    <row r="41" spans="9:17" x14ac:dyDescent="0.2">
      <c r="I41" s="27"/>
      <c r="J41" s="27"/>
      <c r="K41" s="27"/>
      <c r="L41" s="27"/>
      <c r="M41" s="27"/>
      <c r="N41" s="27"/>
      <c r="O41" s="27"/>
      <c r="P41" s="27"/>
      <c r="Q41" s="27"/>
    </row>
    <row r="42" spans="9:17" x14ac:dyDescent="0.2">
      <c r="I42" s="27"/>
      <c r="J42" s="27"/>
      <c r="K42" s="27"/>
      <c r="L42" s="27"/>
      <c r="M42" s="27"/>
      <c r="N42" s="27"/>
      <c r="O42" s="27"/>
      <c r="P42" s="27"/>
      <c r="Q42" s="27"/>
    </row>
  </sheetData>
  <mergeCells count="2">
    <mergeCell ref="E4:M4"/>
    <mergeCell ref="I40:Q42"/>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9</vt:i4>
      </vt:variant>
      <vt:variant>
        <vt:lpstr>Diagrammer</vt:lpstr>
      </vt:variant>
      <vt:variant>
        <vt:i4>1</vt:i4>
      </vt:variant>
    </vt:vector>
  </HeadingPairs>
  <TitlesOfParts>
    <vt:vector size="10" baseType="lpstr">
      <vt:lpstr>Index</vt:lpstr>
      <vt:lpstr>Part I</vt:lpstr>
      <vt:lpstr>Part II</vt:lpstr>
      <vt:lpstr>Part III</vt:lpstr>
      <vt:lpstr>Part IV</vt:lpstr>
      <vt:lpstr>Part V</vt:lpstr>
      <vt:lpstr>Part VI</vt:lpstr>
      <vt:lpstr>Part VII</vt:lpstr>
      <vt:lpstr>Results</vt:lpstr>
      <vt:lpstr>Chart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Μάνος Σχίζας</dc:creator>
  <cp:lastModifiedBy>Tue</cp:lastModifiedBy>
  <dcterms:created xsi:type="dcterms:W3CDTF">2004-12-06T21:41:01Z</dcterms:created>
  <dcterms:modified xsi:type="dcterms:W3CDTF">2017-03-12T16:24:58Z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709af208-fdc0-4535-a4a0-efd91b3558a0</vt:lpwstr>
  </property>
</Properties>
</file>